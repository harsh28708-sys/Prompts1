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9" customWidth="1" min="3" max="3"/>
    <col width="44" customWidth="1" min="4" max="4"/>
    <col width="8" customWidth="1" min="5" max="5"/>
    <col width="22" customWidth="1" min="6" max="6"/>
    <col width="14" customWidth="1" min="7" max="7"/>
    <col width="55" customWidth="1" min="8" max="8"/>
  </cols>
  <sheetData>
    <row r="1">
      <c r="A1" s="1" t="inlineStr">
        <is>
          <t>PromtEval - Sprint Tracker (Mon 3 Aug - Fri 7 Aug 2026)</t>
        </is>
      </c>
    </row>
    <row r="3">
      <c r="A3" s="2" t="inlineStr">
        <is>
          <t>Working hours/day (930-430, 45 min lunch):</t>
        </is>
      </c>
      <c r="C3" s="3" t="n">
        <v>6.25</v>
      </c>
    </row>
    <row r="4">
      <c r="A4" s="2" t="inlineStr">
        <is>
          <t>Total capacity (5 days):</t>
        </is>
      </c>
      <c r="C4" s="4">
        <f>C3*5</f>
        <v/>
      </c>
    </row>
    <row r="5">
      <c r="A5" s="2" t="inlineStr">
        <is>
          <t>Total estimated hours (all tasks):</t>
        </is>
      </c>
      <c r="C5" s="4">
        <f>SUM(E10:E37)</f>
        <v/>
      </c>
    </row>
    <row r="6">
      <c r="A6" s="2" t="inlineStr">
        <is>
          <t>Must-have hours:</t>
        </is>
      </c>
      <c r="C6" s="4">
        <f>SUMIF(B10:B37,"Must",E10:E37)</f>
        <v/>
      </c>
    </row>
    <row r="7">
      <c r="A7" s="2" t="inlineStr">
        <is>
          <t>Stretch hours:</t>
        </is>
      </c>
      <c r="C7" s="4">
        <f>SUMIF(B10:B37,"Stretch",E10:E37)</f>
        <v/>
      </c>
    </row>
    <row r="9" ht="18" customHeight="1">
      <c r="A9" s="5" t="inlineStr">
        <is>
          <t>PBI</t>
        </is>
      </c>
      <c r="B9" s="5" t="inlineStr">
        <is>
          <t>Priority</t>
        </is>
      </c>
      <c r="C9" s="5" t="inlineStr">
        <is>
          <t>Task ID</t>
        </is>
      </c>
      <c r="D9" s="5" t="inlineStr">
        <is>
          <t>Task</t>
        </is>
      </c>
      <c r="E9" s="5" t="inlineStr">
        <is>
          <t>Est (h)</t>
        </is>
      </c>
      <c r="F9" s="5" t="inlineStr">
        <is>
          <t>Day</t>
        </is>
      </c>
      <c r="G9" s="5" t="inlineStr">
        <is>
          <t>Status</t>
        </is>
      </c>
      <c r="H9" s="5" t="inlineStr">
        <is>
          <t>DoD</t>
        </is>
      </c>
    </row>
    <row r="10">
      <c r="A10" s="6" t="inlineStr">
        <is>
          <t>PBI-0 Spec-Driven Dev Artifacts</t>
        </is>
      </c>
      <c r="B10" s="6" t="inlineStr">
        <is>
          <t>Must</t>
        </is>
      </c>
      <c r="C10" s="6" t="inlineStr">
        <is>
          <t>T0.1</t>
        </is>
      </c>
      <c r="D10" s="6" t="inlineStr">
        <is>
          <t>Write spec.md (user story, goals, non-goals, acceptance criteria)</t>
        </is>
      </c>
      <c r="E10" s="6" t="n">
        <v>1</v>
      </c>
      <c r="F10" s="6" t="inlineStr">
        <is>
          <t>Mon 3 Aug</t>
        </is>
      </c>
      <c r="G10" s="6" t="inlineStr">
        <is>
          <t>Not Started</t>
        </is>
      </c>
      <c r="H10" s="6" t="inlineStr">
        <is>
          <t>spec.md, plan.md, tasks.md exist; plan.md resolves every open question; tasks.md is granular enough to execute; stakeholder signed off.</t>
        </is>
      </c>
    </row>
    <row r="11">
      <c r="A11" s="6" t="inlineStr">
        <is>
          <t>PBI-0 Spec-Driven Dev Artifacts</t>
        </is>
      </c>
      <c r="B11" s="6" t="inlineStr">
        <is>
          <t>Must</t>
        </is>
      </c>
      <c r="C11" s="6" t="inlineStr">
        <is>
          <t>T0.2</t>
        </is>
      </c>
      <c r="D11" s="6" t="inlineStr">
        <is>
          <t>Write plan.md (architecture, data contracts, judge prompt design, decisions)</t>
        </is>
      </c>
      <c r="E11" s="6" t="n">
        <v>1</v>
      </c>
      <c r="F11" s="6" t="inlineStr">
        <is>
          <t>Mon 3 Aug</t>
        </is>
      </c>
      <c r="G11" s="6" t="inlineStr">
        <is>
          <t>Not Started</t>
        </is>
      </c>
      <c r="H11" s="6" t="inlineStr">
        <is>
          <t>spec.md, plan.md, tasks.md exist; plan.md resolves every open question; tasks.md is granular enough to execute; stakeholder signed off.</t>
        </is>
      </c>
    </row>
    <row r="12">
      <c r="A12" s="6" t="inlineStr">
        <is>
          <t>PBI-0 Spec-Driven Dev Artifacts</t>
        </is>
      </c>
      <c r="B12" s="6" t="inlineStr">
        <is>
          <t>Must</t>
        </is>
      </c>
      <c r="C12" s="6" t="inlineStr">
        <is>
          <t>T0.3</t>
        </is>
      </c>
      <c r="D12" s="6" t="inlineStr">
        <is>
          <t>Write tasks.md</t>
        </is>
      </c>
      <c r="E12" s="6" t="n">
        <v>0.5</v>
      </c>
      <c r="F12" s="6" t="inlineStr">
        <is>
          <t>Mon 3 Aug</t>
        </is>
      </c>
      <c r="G12" s="6" t="inlineStr">
        <is>
          <t>Not Started</t>
        </is>
      </c>
      <c r="H12" s="6" t="inlineStr">
        <is>
          <t>spec.md, plan.md, tasks.md exist; plan.md resolves every open question; tasks.md is granular enough to execute; stakeholder signed off.</t>
        </is>
      </c>
    </row>
    <row r="13">
      <c r="A13" s="6" t="inlineStr">
        <is>
          <t>PBI-0 Spec-Driven Dev Artifacts</t>
        </is>
      </c>
      <c r="B13" s="6" t="inlineStr">
        <is>
          <t>Must</t>
        </is>
      </c>
      <c r="C13" s="6" t="inlineStr">
        <is>
          <t>T0.4</t>
        </is>
      </c>
      <c r="D13" s="6" t="inlineStr">
        <is>
          <t>Stakeholder review of spec/plan/tasks; refine and sign off</t>
        </is>
      </c>
      <c r="E13" s="6" t="n">
        <v>0.5</v>
      </c>
      <c r="F13" s="6" t="inlineStr">
        <is>
          <t>Mon 3 Aug</t>
        </is>
      </c>
      <c r="G13" s="6" t="inlineStr">
        <is>
          <t>Not Started</t>
        </is>
      </c>
      <c r="H13" s="6" t="inlineStr">
        <is>
          <t>spec.md, plan.md, tasks.md exist; plan.md resolves every open question; tasks.md is granular enough to execute; stakeholder signed off.</t>
        </is>
      </c>
    </row>
    <row r="14">
      <c r="A14" s="7" t="inlineStr">
        <is>
          <t>PBI-1 Project Setup &amp; Environment</t>
        </is>
      </c>
      <c r="B14" s="7" t="inlineStr">
        <is>
          <t>Must</t>
        </is>
      </c>
      <c r="C14" s="7" t="inlineStr">
        <is>
          <t>T1.1</t>
        </is>
      </c>
      <c r="D14" s="7" t="inlineStr">
        <is>
          <t>Initialise Python project, repo, lint config, virtualenv</t>
        </is>
      </c>
      <c r="E14" s="7" t="n">
        <v>1</v>
      </c>
      <c r="F14" s="7" t="inlineStr">
        <is>
          <t>Mon 3 Aug</t>
        </is>
      </c>
      <c r="G14" s="7" t="inlineStr">
        <is>
          <t>Not Started</t>
        </is>
      </c>
      <c r="H14" s="7" t="inlineStr">
        <is>
          <t>Repo installs cleanly; lint passes; all schemas parse a sample JSON fixture each.</t>
        </is>
      </c>
    </row>
    <row r="15">
      <c r="A15" s="7" t="inlineStr">
        <is>
          <t>PBI-1 Project Setup &amp; Environment</t>
        </is>
      </c>
      <c r="B15" s="7" t="inlineStr">
        <is>
          <t>Must</t>
        </is>
      </c>
      <c r="C15" s="7" t="inlineStr">
        <is>
          <t>T1.2</t>
        </is>
      </c>
      <c r="D15" s="7" t="inlineStr">
        <is>
          <t>Configure env vars for provider API keys (.env)</t>
        </is>
      </c>
      <c r="E15" s="7" t="n">
        <v>0.5</v>
      </c>
      <c r="F15" s="7" t="inlineStr">
        <is>
          <t>Mon 3 Aug</t>
        </is>
      </c>
      <c r="G15" s="7" t="inlineStr">
        <is>
          <t>Not Started</t>
        </is>
      </c>
      <c r="H15" s="7" t="inlineStr">
        <is>
          <t>Repo installs cleanly; lint passes; all schemas parse a sample JSON fixture each.</t>
        </is>
      </c>
    </row>
    <row r="16">
      <c r="A16" s="7" t="inlineStr">
        <is>
          <t>PBI-1 Project Setup &amp; Environment</t>
        </is>
      </c>
      <c r="B16" s="7" t="inlineStr">
        <is>
          <t>Must</t>
        </is>
      </c>
      <c r="C16" s="7" t="inlineStr">
        <is>
          <t>T1.3</t>
        </is>
      </c>
      <c r="D16" s="7" t="inlineStr">
        <is>
          <t>Define core Pydantic schemas per plan.md's data contracts</t>
        </is>
      </c>
      <c r="E16" s="7" t="n">
        <v>1.5</v>
      </c>
      <c r="F16" s="7" t="inlineStr">
        <is>
          <t>Mon 3 Aug</t>
        </is>
      </c>
      <c r="G16" s="7" t="inlineStr">
        <is>
          <t>Not Started</t>
        </is>
      </c>
      <c r="H16" s="7" t="inlineStr">
        <is>
          <t>Repo installs cleanly; lint passes; all schemas parse a sample JSON fixture each.</t>
        </is>
      </c>
    </row>
    <row r="17">
      <c r="A17" s="6" t="inlineStr">
        <is>
          <t>PBI-2 Prompt Variant Input &amp; Rendering</t>
        </is>
      </c>
      <c r="B17" s="6" t="inlineStr">
        <is>
          <t>Must</t>
        </is>
      </c>
      <c r="C17" s="6" t="inlineStr">
        <is>
          <t>T2.1</t>
        </is>
      </c>
      <c r="D17" s="6" t="inlineStr">
        <is>
          <t>Finalise EvalRun input JSON format + example input file</t>
        </is>
      </c>
      <c r="E17" s="6" t="n">
        <v>1</v>
      </c>
      <c r="F17" s="6" t="inlineStr">
        <is>
          <t>Tue 4 Aug</t>
        </is>
      </c>
      <c r="G17" s="6" t="inlineStr">
        <is>
          <t>Not Started</t>
        </is>
      </c>
      <c r="H17" s="6" t="inlineStr">
        <is>
          <t>Renderer produces a correctly filled prompt for every variant/test-case pair; missing-variable case caught with a readable error.</t>
        </is>
      </c>
    </row>
    <row r="18">
      <c r="A18" s="6" t="inlineStr">
        <is>
          <t>PBI-2 Prompt Variant Input &amp; Rendering</t>
        </is>
      </c>
      <c r="B18" s="6" t="inlineStr">
        <is>
          <t>Must</t>
        </is>
      </c>
      <c r="C18" s="6" t="inlineStr">
        <is>
          <t>T2.2</t>
        </is>
      </c>
      <c r="D18" s="6" t="inlineStr">
        <is>
          <t>Build the template renderer</t>
        </is>
      </c>
      <c r="E18" s="6" t="n">
        <v>1.5</v>
      </c>
      <c r="F18" s="6" t="inlineStr">
        <is>
          <t>Tue 4 Aug</t>
        </is>
      </c>
      <c r="G18" s="6" t="inlineStr">
        <is>
          <t>Not Started</t>
        </is>
      </c>
      <c r="H18" s="6" t="inlineStr">
        <is>
          <t>Renderer produces a correctly filled prompt for every variant/test-case pair; missing-variable case caught with a readable error.</t>
        </is>
      </c>
    </row>
    <row r="19">
      <c r="A19" s="6" t="inlineStr">
        <is>
          <t>PBI-2 Prompt Variant Input &amp; Rendering</t>
        </is>
      </c>
      <c r="B19" s="6" t="inlineStr">
        <is>
          <t>Must</t>
        </is>
      </c>
      <c r="C19" s="6" t="inlineStr">
        <is>
          <t>T2.3</t>
        </is>
      </c>
      <c r="D19" s="6" t="inlineStr">
        <is>
          <t>Unit tests: full matrix + missing-variable error case</t>
        </is>
      </c>
      <c r="E19" s="6" t="n">
        <v>1</v>
      </c>
      <c r="F19" s="6" t="inlineStr">
        <is>
          <t>Tue 4 Aug</t>
        </is>
      </c>
      <c r="G19" s="6" t="inlineStr">
        <is>
          <t>Not Started</t>
        </is>
      </c>
      <c r="H19" s="6" t="inlineStr">
        <is>
          <t>Renderer produces a correctly filled prompt for every variant/test-case pair; missing-variable case caught with a readable error.</t>
        </is>
      </c>
    </row>
    <row r="20">
      <c r="A20" s="7" t="inlineStr">
        <is>
          <t>PBI-3 Multi-LLM Execution Engine</t>
        </is>
      </c>
      <c r="B20" s="7" t="inlineStr">
        <is>
          <t>Must</t>
        </is>
      </c>
      <c r="C20" s="7" t="inlineStr">
        <is>
          <t>T3.1</t>
        </is>
      </c>
      <c r="D20" s="7" t="inlineStr">
        <is>
          <t>Integrate litellm against OpenRouter, Gemini, Groq</t>
        </is>
      </c>
      <c r="E20" s="7" t="n">
        <v>2</v>
      </c>
      <c r="F20" s="7" t="inlineStr">
        <is>
          <t>Tue 4 Aug</t>
        </is>
      </c>
      <c r="G20" s="7" t="inlineStr">
        <is>
          <t>Not Started</t>
        </is>
      </c>
      <c r="H20" s="7" t="inlineStr">
        <is>
          <t>All N x M x K calls execute concurrently; every result is a valid LLMCallResult; a forced single-call failure doesn't abort the batch.</t>
        </is>
      </c>
    </row>
    <row r="21">
      <c r="A21" s="7" t="inlineStr">
        <is>
          <t>PBI-3 Multi-LLM Execution Engine</t>
        </is>
      </c>
      <c r="B21" s="7" t="inlineStr">
        <is>
          <t>Must</t>
        </is>
      </c>
      <c r="C21" s="7" t="inlineStr">
        <is>
          <t>T3.2</t>
        </is>
      </c>
      <c r="D21" s="7" t="inlineStr">
        <is>
          <t>Build async parallel runner (asyncio.gather + Semaphore)</t>
        </is>
      </c>
      <c r="E21" s="7" t="n">
        <v>2</v>
      </c>
      <c r="F21" s="7" t="inlineStr">
        <is>
          <t>Wed 5 Aug</t>
        </is>
      </c>
      <c r="G21" s="7" t="inlineStr">
        <is>
          <t>Not Started</t>
        </is>
      </c>
      <c r="H21" s="7" t="inlineStr">
        <is>
          <t>All N x M x K calls execute concurrently; every result is a valid LLMCallResult; a forced single-call failure doesn't abort the batch.</t>
        </is>
      </c>
    </row>
    <row r="22">
      <c r="A22" s="7" t="inlineStr">
        <is>
          <t>PBI-3 Multi-LLM Execution Engine</t>
        </is>
      </c>
      <c r="B22" s="7" t="inlineStr">
        <is>
          <t>Must</t>
        </is>
      </c>
      <c r="C22" s="7" t="inlineStr">
        <is>
          <t>T3.3</t>
        </is>
      </c>
      <c r="D22" s="7" t="inlineStr">
        <is>
          <t>Capture input/output tokens + latency per call</t>
        </is>
      </c>
      <c r="E22" s="7" t="n">
        <v>1</v>
      </c>
      <c r="F22" s="7" t="inlineStr">
        <is>
          <t>Wed 5 Aug</t>
        </is>
      </c>
      <c r="G22" s="7" t="inlineStr">
        <is>
          <t>Not Started</t>
        </is>
      </c>
      <c r="H22" s="7" t="inlineStr">
        <is>
          <t>All N x M x K calls execute concurrently; every result is a valid LLMCallResult; a forced single-call failure doesn't abort the batch.</t>
        </is>
      </c>
    </row>
    <row r="23">
      <c r="A23" s="7" t="inlineStr">
        <is>
          <t>PBI-3 Multi-LLM Execution Engine</t>
        </is>
      </c>
      <c r="B23" s="7" t="inlineStr">
        <is>
          <t>Must</t>
        </is>
      </c>
      <c r="C23" s="7" t="inlineStr">
        <is>
          <t>T3.4</t>
        </is>
      </c>
      <c r="D23" s="7" t="inlineStr">
        <is>
          <t>Add retry/backoff; populate error field on final failure</t>
        </is>
      </c>
      <c r="E23" s="7" t="n">
        <v>1</v>
      </c>
      <c r="F23" s="7" t="inlineStr">
        <is>
          <t>Wed 5 Aug</t>
        </is>
      </c>
      <c r="G23" s="7" t="inlineStr">
        <is>
          <t>Not Started</t>
        </is>
      </c>
      <c r="H23" s="7" t="inlineStr">
        <is>
          <t>All N x M x K calls execute concurrently; every result is a valid LLMCallResult; a forced single-call failure doesn't abort the batch.</t>
        </is>
      </c>
    </row>
    <row r="24">
      <c r="A24" s="6" t="inlineStr">
        <is>
          <t>PBI-4 LLM Judge Evaluation Engine</t>
        </is>
      </c>
      <c r="B24" s="6" t="inlineStr">
        <is>
          <t>Must</t>
        </is>
      </c>
      <c r="C24" s="6" t="inlineStr">
        <is>
          <t>T4.1</t>
        </is>
      </c>
      <c r="D24" s="6" t="inlineStr">
        <is>
          <t>Write the judge prompt template</t>
        </is>
      </c>
      <c r="E24" s="6" t="n">
        <v>1</v>
      </c>
      <c r="F24" s="6" t="inlineStr">
        <is>
          <t>Wed 5 Aug</t>
        </is>
      </c>
      <c r="G24" s="6" t="inlineStr">
        <is>
          <t>Not Started</t>
        </is>
      </c>
      <c r="H24" s="6" t="inlineStr">
        <is>
          <t>Every LLMCallResult gets a valid JudgeResult; a malformed judge response never raises past the retry/fallback path.</t>
        </is>
      </c>
    </row>
    <row r="25">
      <c r="A25" s="6" t="inlineStr">
        <is>
          <t>PBI-4 LLM Judge Evaluation Engine</t>
        </is>
      </c>
      <c r="B25" s="6" t="inlineStr">
        <is>
          <t>Must</t>
        </is>
      </c>
      <c r="C25" s="6" t="inlineStr">
        <is>
          <t>T4.2</t>
        </is>
      </c>
      <c r="D25" s="6" t="inlineStr">
        <is>
          <t>Send judge prompt to judge model (temp 0); validate against JudgeResult</t>
        </is>
      </c>
      <c r="E25" s="6" t="n">
        <v>1.5</v>
      </c>
      <c r="F25" s="6" t="inlineStr">
        <is>
          <t>Wed 5 Aug</t>
        </is>
      </c>
      <c r="G25" s="6" t="inlineStr">
        <is>
          <t>Not Started</t>
        </is>
      </c>
      <c r="H25" s="6" t="inlineStr">
        <is>
          <t>Every LLMCallResult gets a valid JudgeResult; a malformed judge response never raises past the retry/fallback path.</t>
        </is>
      </c>
    </row>
    <row r="26">
      <c r="A26" s="6" t="inlineStr">
        <is>
          <t>PBI-4 LLM Judge Evaluation Engine</t>
        </is>
      </c>
      <c r="B26" s="6" t="inlineStr">
        <is>
          <t>Must</t>
        </is>
      </c>
      <c r="C26" s="6" t="inlineStr">
        <is>
          <t>T4.3</t>
        </is>
      </c>
      <c r="D26" s="6" t="inlineStr">
        <is>
          <t>Handle judge parse failures (retry once, fallback score=0)</t>
        </is>
      </c>
      <c r="E26" s="6" t="n">
        <v>1</v>
      </c>
      <c r="F26" s="6" t="inlineStr">
        <is>
          <t>Thu 6 Aug</t>
        </is>
      </c>
      <c r="G26" s="6" t="inlineStr">
        <is>
          <t>Not Started</t>
        </is>
      </c>
      <c r="H26" s="6" t="inlineStr">
        <is>
          <t>Every LLMCallResult gets a valid JudgeResult; a malformed judge response never raises past the retry/fallback path.</t>
        </is>
      </c>
    </row>
    <row r="27">
      <c r="A27" s="6" t="inlineStr">
        <is>
          <t>PBI-4 LLM Judge Evaluation Engine</t>
        </is>
      </c>
      <c r="B27" s="6" t="inlineStr">
        <is>
          <t>Must</t>
        </is>
      </c>
      <c r="C27" s="6" t="inlineStr">
        <is>
          <t>T4.4</t>
        </is>
      </c>
      <c r="D27" s="6" t="inlineStr">
        <is>
          <t>Unit tests with mocked judge responses</t>
        </is>
      </c>
      <c r="E27" s="6" t="n">
        <v>1</v>
      </c>
      <c r="F27" s="6" t="inlineStr">
        <is>
          <t>Thu 6 Aug</t>
        </is>
      </c>
      <c r="G27" s="6" t="inlineStr">
        <is>
          <t>Not Started</t>
        </is>
      </c>
      <c r="H27" s="6" t="inlineStr">
        <is>
          <t>Every LLMCallResult gets a valid JudgeResult; a malformed judge response never raises past the retry/fallback path.</t>
        </is>
      </c>
    </row>
    <row r="28">
      <c r="A28" s="7" t="inlineStr">
        <is>
          <t>PBI-6 Scoring, Ranking &amp; Recommendation</t>
        </is>
      </c>
      <c r="B28" s="7" t="inlineStr">
        <is>
          <t>Must</t>
        </is>
      </c>
      <c r="C28" s="7" t="inlineStr">
        <is>
          <t>T6.1</t>
        </is>
      </c>
      <c r="D28" s="7" t="inlineStr">
        <is>
          <t>Aggregate into VariantScore + weighted_score</t>
        </is>
      </c>
      <c r="E28" s="7" t="n">
        <v>1.5</v>
      </c>
      <c r="F28" s="7" t="inlineStr">
        <is>
          <t>Thu 6 Aug</t>
        </is>
      </c>
      <c r="G28" s="7" t="inlineStr">
        <is>
          <t>Not Started</t>
        </is>
      </c>
      <c r="H28" s="7" t="inlineStr">
        <is>
          <t>One end-to-end run produces a RunReport with a ranked table and a recommended_variant_id + rationale naming concrete reasons.</t>
        </is>
      </c>
    </row>
    <row r="29">
      <c r="A29" s="7" t="inlineStr">
        <is>
          <t>PBI-6 Scoring, Ranking &amp; Recommendation</t>
        </is>
      </c>
      <c r="B29" s="7" t="inlineStr">
        <is>
          <t>Must</t>
        </is>
      </c>
      <c r="C29" s="7" t="inlineStr">
        <is>
          <t>T6.2</t>
        </is>
      </c>
      <c r="D29" s="7" t="inlineStr">
        <is>
          <t>Recommendation generator with rationale</t>
        </is>
      </c>
      <c r="E29" s="7" t="n">
        <v>1.5</v>
      </c>
      <c r="F29" s="7" t="inlineStr">
        <is>
          <t>Thu 6 Aug</t>
        </is>
      </c>
      <c r="G29" s="7" t="inlineStr">
        <is>
          <t>Not Started</t>
        </is>
      </c>
      <c r="H29" s="7" t="inlineStr">
        <is>
          <t>One end-to-end run produces a RunReport with a ranked table and a recommended_variant_id + rationale naming concrete reasons.</t>
        </is>
      </c>
    </row>
    <row r="30">
      <c r="A30" s="7" t="inlineStr">
        <is>
          <t>PBI-6 Scoring, Ranking &amp; Recommendation</t>
        </is>
      </c>
      <c r="B30" s="7" t="inlineStr">
        <is>
          <t>Must</t>
        </is>
      </c>
      <c r="C30" s="7" t="inlineStr">
        <is>
          <t>T6.3</t>
        </is>
      </c>
      <c r="D30" s="7" t="inlineStr">
        <is>
          <t>Report formatter (CLI table + optional Markdown/JSON)</t>
        </is>
      </c>
      <c r="E30" s="7" t="n">
        <v>1</v>
      </c>
      <c r="F30" s="7" t="inlineStr">
        <is>
          <t>Thu 6 Aug</t>
        </is>
      </c>
      <c r="G30" s="7" t="inlineStr">
        <is>
          <t>Not Started</t>
        </is>
      </c>
      <c r="H30" s="7" t="inlineStr">
        <is>
          <t>One end-to-end run produces a RunReport with a ranked table and a recommended_variant_id + rationale naming concrete reasons.</t>
        </is>
      </c>
    </row>
    <row r="31">
      <c r="A31" s="6" t="inlineStr">
        <is>
          <t>PBI-8 End-to-End Testing &amp; Docs</t>
        </is>
      </c>
      <c r="B31" s="6" t="inlineStr">
        <is>
          <t>Must</t>
        </is>
      </c>
      <c r="C31" s="6" t="inlineStr">
        <is>
          <t>T8.1</t>
        </is>
      </c>
      <c r="D31" s="6" t="inlineStr">
        <is>
          <t>Full E2E run on one real task through all three providers</t>
        </is>
      </c>
      <c r="E31" s="6" t="n">
        <v>1.5</v>
      </c>
      <c r="F31" s="6" t="inlineStr">
        <is>
          <t>Fri 7 Aug</t>
        </is>
      </c>
      <c r="G31" s="6" t="inlineStr">
        <is>
          <t>Not Started</t>
        </is>
      </c>
      <c r="H31" s="6" t="inlineStr">
        <is>
          <t>Fresh clone + README-only setup produces a working run; no unhandled exceptions in the E2E pass.</t>
        </is>
      </c>
    </row>
    <row r="32">
      <c r="A32" s="6" t="inlineStr">
        <is>
          <t>PBI-8 End-to-End Testing &amp; Docs</t>
        </is>
      </c>
      <c r="B32" s="6" t="inlineStr">
        <is>
          <t>Must</t>
        </is>
      </c>
      <c r="C32" s="6" t="inlineStr">
        <is>
          <t>T8.2</t>
        </is>
      </c>
      <c r="D32" s="6" t="inlineStr">
        <is>
          <t>Write README.md</t>
        </is>
      </c>
      <c r="E32" s="6" t="n">
        <v>1</v>
      </c>
      <c r="F32" s="6" t="inlineStr">
        <is>
          <t>Fri 7 Aug</t>
        </is>
      </c>
      <c r="G32" s="6" t="inlineStr">
        <is>
          <t>Not Started</t>
        </is>
      </c>
      <c r="H32" s="6" t="inlineStr">
        <is>
          <t>Fresh clone + README-only setup produces a working run; no unhandled exceptions in the E2E pass.</t>
        </is>
      </c>
    </row>
    <row r="33">
      <c r="A33" s="6" t="inlineStr">
        <is>
          <t>PBI-8 End-to-End Testing &amp; Docs</t>
        </is>
      </c>
      <c r="B33" s="6" t="inlineStr">
        <is>
          <t>Must</t>
        </is>
      </c>
      <c r="C33" s="6" t="inlineStr">
        <is>
          <t>T8.3</t>
        </is>
      </c>
      <c r="D33" s="6" t="inlineStr">
        <is>
          <t>Final bug fixes/polish from E2E run</t>
        </is>
      </c>
      <c r="E33" s="6" t="n">
        <v>1.5</v>
      </c>
      <c r="F33" s="6" t="inlineStr">
        <is>
          <t>Fri 7 Aug</t>
        </is>
      </c>
      <c r="G33" s="6" t="inlineStr">
        <is>
          <t>Not Started</t>
        </is>
      </c>
      <c r="H33" s="6" t="inlineStr">
        <is>
          <t>Fresh clone + README-only setup produces a working run; no unhandled exceptions in the E2E pass.</t>
        </is>
      </c>
    </row>
    <row r="34">
      <c r="A34" s="8" t="inlineStr">
        <is>
          <t>PBI-5 Cost &amp; Latency Calculation</t>
        </is>
      </c>
      <c r="B34" s="8" t="inlineStr">
        <is>
          <t>Stretch</t>
        </is>
      </c>
      <c r="C34" s="8" t="inlineStr">
        <is>
          <t>T5.1</t>
        </is>
      </c>
      <c r="D34" s="8" t="inlineStr">
        <is>
          <t>Build pricing table ($ per input/output token)</t>
        </is>
      </c>
      <c r="E34" s="8" t="n">
        <v>1</v>
      </c>
      <c r="F34" s="8" t="inlineStr">
        <is>
          <t>Fri 7 Aug</t>
        </is>
      </c>
      <c r="G34" s="8" t="inlineStr">
        <is>
          <t>Not Started</t>
        </is>
      </c>
      <c r="H34" s="8" t="inlineStr">
        <is>
          <t>cost_usd on a known token count matches a hand calculation; unknown models fall back to cost_usd=None.</t>
        </is>
      </c>
    </row>
    <row r="35">
      <c r="A35" s="8" t="inlineStr">
        <is>
          <t>PBI-5 Cost &amp; Latency Calculation</t>
        </is>
      </c>
      <c r="B35" s="8" t="inlineStr">
        <is>
          <t>Stretch</t>
        </is>
      </c>
      <c r="C35" s="8" t="inlineStr">
        <is>
          <t>T5.2</t>
        </is>
      </c>
      <c r="D35" s="8" t="inlineStr">
        <is>
          <t>Compute cost_usd per call/variant</t>
        </is>
      </c>
      <c r="E35" s="8" t="n">
        <v>1</v>
      </c>
      <c r="F35" s="8" t="inlineStr">
        <is>
          <t>Fri 7 Aug</t>
        </is>
      </c>
      <c r="G35" s="8" t="inlineStr">
        <is>
          <t>Not Started</t>
        </is>
      </c>
      <c r="H35" s="8" t="inlineStr">
        <is>
          <t>cost_usd on a known token count matches a hand calculation; unknown models fall back to cost_usd=None.</t>
        </is>
      </c>
    </row>
    <row r="36">
      <c r="A36" s="8" t="inlineStr">
        <is>
          <t>PBI-7 Error Handling &amp; Reliability</t>
        </is>
      </c>
      <c r="B36" s="8" t="inlineStr">
        <is>
          <t>Stretch</t>
        </is>
      </c>
      <c r="C36" s="8" t="inlineStr">
        <is>
          <t>T7.1</t>
        </is>
      </c>
      <c r="D36" s="8" t="inlineStr">
        <is>
          <t>Confirm partial failures never drop completed results</t>
        </is>
      </c>
      <c r="E36" s="8" t="n">
        <v>1</v>
      </c>
      <c r="F36" s="8" t="inlineStr">
        <is>
          <t>Unscheduled (if time remains)</t>
        </is>
      </c>
      <c r="G36" s="8" t="inlineStr">
        <is>
          <t>Not Started</t>
        </is>
      </c>
      <c r="H36" s="8" t="inlineStr">
        <is>
          <t>A simulated timeout or mid-run failure still yields a RunReport containing every result that did complete.</t>
        </is>
      </c>
    </row>
    <row r="37">
      <c r="A37" s="8" t="inlineStr">
        <is>
          <t>PBI-7 Error Handling &amp; Reliability</t>
        </is>
      </c>
      <c r="B37" s="8" t="inlineStr">
        <is>
          <t>Stretch</t>
        </is>
      </c>
      <c r="C37" s="8" t="inlineStr">
        <is>
          <t>T7.2</t>
        </is>
      </c>
      <c r="D37" s="8" t="inlineStr">
        <is>
          <t>Add explicit per-provider timeout handling</t>
        </is>
      </c>
      <c r="E37" s="8" t="n">
        <v>1</v>
      </c>
      <c r="F37" s="8" t="inlineStr">
        <is>
          <t>Unscheduled (if time remains)</t>
        </is>
      </c>
      <c r="G37" s="8" t="inlineStr">
        <is>
          <t>Not Started</t>
        </is>
      </c>
      <c r="H37" s="8" t="inlineStr">
        <is>
          <t>A simulated timeout or mid-run failure still yields a RunReport containing every result that did complete.</t>
        </is>
      </c>
    </row>
  </sheetData>
  <mergeCells count="1">
    <mergeCell ref="A1:H1"/>
  </mergeCells>
  <dataValidations count="1">
    <dataValidation sqref="G10 G11 G12 G13 G14 G15 G16 G17 G18 G19 G20 G21 G22 G23 G24 G25 G26 G27 G28 G29 G30 G31 G32 G33 G34 G35 G36 G37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2026-08-03T13:27:33Z</dcterms:created>
  <dcterms:modified xsi:type="dcterms:W3CDTF">2026-08-03T13:27:33Z</dcterms:modified>
</cp:coreProperties>
</file>